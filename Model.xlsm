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905" codeName="{00000000-0000-0000-0000-000000000000}"/>
  <workbookPr codeName="ThisWorkbook" autoCompressPictures="0"/>
  <bookViews>
    <workbookView xWindow="120" yWindow="60" windowWidth="28680" windowHeight="17380" activeTab="1"/>
  </bookViews>
  <sheets>
    <sheet name="Tables" sheetId="2" r:id="rId1"/>
    <sheet name="Model" sheetId="4" r:id="rId2"/>
  </sheets>
  <definedNames>
    <definedName name="deposits">Tables!$G$4:$J$39</definedName>
    <definedName name="model_points">Tables!$L$4:$M$6</definedName>
    <definedName name="rates">Tables!$B$4:$E$39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4" i="4" l="1"/>
  <c r="S4" i="4"/>
  <c r="Q5" i="4"/>
  <c r="R5" i="4"/>
  <c r="S5" i="4"/>
  <c r="Q6" i="4"/>
  <c r="R6" i="4"/>
  <c r="S6" i="4"/>
  <c r="Q7" i="4"/>
  <c r="R7" i="4"/>
  <c r="S7" i="4"/>
  <c r="Q8" i="4"/>
  <c r="R8" i="4"/>
  <c r="S8" i="4"/>
  <c r="Q9" i="4"/>
  <c r="R9" i="4"/>
  <c r="S9" i="4"/>
  <c r="Q10" i="4"/>
  <c r="R10" i="4"/>
  <c r="S10" i="4"/>
  <c r="Q11" i="4"/>
  <c r="R11" i="4"/>
  <c r="S11" i="4"/>
  <c r="Q12" i="4"/>
  <c r="R12" i="4"/>
  <c r="S12" i="4"/>
  <c r="Q13" i="4"/>
  <c r="R13" i="4"/>
  <c r="S13" i="4"/>
  <c r="Q14" i="4"/>
  <c r="R14" i="4"/>
  <c r="S14" i="4"/>
  <c r="Q15" i="4"/>
  <c r="R15" i="4"/>
  <c r="S15" i="4"/>
  <c r="Q16" i="4"/>
  <c r="R16" i="4"/>
  <c r="S16" i="4"/>
  <c r="Q17" i="4"/>
  <c r="R17" i="4"/>
  <c r="S17" i="4"/>
  <c r="Q18" i="4"/>
  <c r="R18" i="4"/>
  <c r="S18" i="4"/>
  <c r="Q19" i="4"/>
  <c r="R19" i="4"/>
  <c r="S19" i="4"/>
  <c r="Q20" i="4"/>
  <c r="R20" i="4"/>
  <c r="S20" i="4"/>
  <c r="Q21" i="4"/>
  <c r="R21" i="4"/>
  <c r="S21" i="4"/>
  <c r="Q22" i="4"/>
  <c r="R22" i="4"/>
  <c r="S22" i="4"/>
  <c r="Q23" i="4"/>
  <c r="R23" i="4"/>
  <c r="S23" i="4"/>
  <c r="Q24" i="4"/>
  <c r="R24" i="4"/>
  <c r="S24" i="4"/>
  <c r="Q25" i="4"/>
  <c r="R25" i="4"/>
  <c r="S25" i="4"/>
  <c r="Q26" i="4"/>
  <c r="R26" i="4"/>
  <c r="S26" i="4"/>
  <c r="Q27" i="4"/>
  <c r="R27" i="4"/>
  <c r="S27" i="4"/>
  <c r="Q28" i="4"/>
  <c r="R28" i="4"/>
  <c r="S28" i="4"/>
  <c r="Q29" i="4"/>
  <c r="R29" i="4"/>
  <c r="S29" i="4"/>
  <c r="Q30" i="4"/>
  <c r="R30" i="4"/>
  <c r="S30" i="4"/>
  <c r="Q31" i="4"/>
  <c r="R31" i="4"/>
  <c r="S31" i="4"/>
  <c r="Q32" i="4"/>
  <c r="R32" i="4"/>
  <c r="S32" i="4"/>
  <c r="Q33" i="4"/>
  <c r="R33" i="4"/>
  <c r="S33" i="4"/>
  <c r="Q34" i="4"/>
  <c r="R34" i="4"/>
  <c r="S34" i="4"/>
  <c r="Q35" i="4"/>
  <c r="R35" i="4"/>
  <c r="S35" i="4"/>
  <c r="Q36" i="4"/>
  <c r="R36" i="4"/>
  <c r="S36" i="4"/>
  <c r="Q37" i="4"/>
  <c r="R37" i="4"/>
  <c r="S37" i="4"/>
  <c r="Q38" i="4"/>
  <c r="R38" i="4"/>
  <c r="S38" i="4"/>
  <c r="Q39" i="4"/>
  <c r="R39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Q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S39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T2" i="4"/>
</calcChain>
</file>

<file path=xl/sharedStrings.xml><?xml version="1.0" encoding="utf-8"?>
<sst xmlns="http://schemas.openxmlformats.org/spreadsheetml/2006/main" count="41" uniqueCount="19">
  <si>
    <t>Annual Growth Rate</t>
  </si>
  <si>
    <t>Month</t>
  </si>
  <si>
    <t>Month of First Withdrawal</t>
  </si>
  <si>
    <t>P7845629</t>
  </si>
  <si>
    <t>P5163592</t>
  </si>
  <si>
    <t>P1289735</t>
  </si>
  <si>
    <t>Account Number</t>
  </si>
  <si>
    <t>Annual Discount Rate</t>
  </si>
  <si>
    <t>Rates</t>
  </si>
  <si>
    <t>Model Points</t>
  </si>
  <si>
    <t>Deposits</t>
  </si>
  <si>
    <t>Withdrawal Rate</t>
  </si>
  <si>
    <t>Withdrawal</t>
  </si>
  <si>
    <t>Balance before withdrawal</t>
  </si>
  <si>
    <t>Balance after withdrawal</t>
  </si>
  <si>
    <t>Discount</t>
  </si>
  <si>
    <t>PV of withdrawal</t>
  </si>
  <si>
    <t>PV of Withdrawal</t>
  </si>
  <si>
    <t>Average 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</si>
</sst>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$&quot;* #,##0.00_);_(&quot;$&quot;* \(#,##0.00\);_(&quot;$&quot;* &quot;-&quot;??_);_(@_)"/>
    <numFmt numFmtId="165" formatCode="0.0%"/>
    <numFmt numFmtId="166" formatCode="0.0000%"/>
    <numFmt numFmtId="170" formatCode="0.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81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5" xfId="0" applyFill="1" applyBorder="1"/>
    <xf numFmtId="0" fontId="0" fillId="2" borderId="7" xfId="0" applyFill="1" applyBorder="1"/>
    <xf numFmtId="0" fontId="0" fillId="0" borderId="13" xfId="0" applyBorder="1"/>
    <xf numFmtId="0" fontId="0" fillId="0" borderId="14" xfId="0" applyBorder="1"/>
    <xf numFmtId="165" fontId="0" fillId="0" borderId="0" xfId="2" applyNumberFormat="1" applyFont="1" applyBorder="1"/>
    <xf numFmtId="165" fontId="0" fillId="0" borderId="8" xfId="2" applyNumberFormat="1" applyFont="1" applyBorder="1"/>
    <xf numFmtId="166" fontId="0" fillId="0" borderId="5" xfId="2" applyNumberFormat="1" applyFont="1" applyBorder="1"/>
    <xf numFmtId="166" fontId="0" fillId="0" borderId="7" xfId="2" applyNumberFormat="1" applyFont="1" applyBorder="1"/>
    <xf numFmtId="166" fontId="0" fillId="0" borderId="6" xfId="2" applyNumberFormat="1" applyFont="1" applyBorder="1"/>
    <xf numFmtId="166" fontId="0" fillId="0" borderId="9" xfId="2" applyNumberFormat="1" applyFont="1" applyBorder="1"/>
    <xf numFmtId="164" fontId="0" fillId="0" borderId="5" xfId="1" applyFont="1" applyBorder="1"/>
    <xf numFmtId="164" fontId="0" fillId="0" borderId="0" xfId="1" applyFont="1" applyBorder="1"/>
    <xf numFmtId="164" fontId="0" fillId="0" borderId="6" xfId="1" applyFont="1" applyBorder="1"/>
    <xf numFmtId="164" fontId="0" fillId="0" borderId="2" xfId="1" applyFont="1" applyBorder="1"/>
    <xf numFmtId="164" fontId="0" fillId="0" borderId="3" xfId="1" applyFont="1" applyBorder="1"/>
    <xf numFmtId="164" fontId="0" fillId="0" borderId="4" xfId="1" applyFont="1" applyBorder="1"/>
    <xf numFmtId="164" fontId="0" fillId="0" borderId="7" xfId="1" applyFont="1" applyBorder="1"/>
    <xf numFmtId="164" fontId="0" fillId="0" borderId="8" xfId="1" applyFont="1" applyBorder="1"/>
    <xf numFmtId="164" fontId="0" fillId="0" borderId="9" xfId="1" applyFont="1" applyBorder="1"/>
    <xf numFmtId="0" fontId="3" fillId="0" borderId="0" xfId="0" applyFont="1"/>
    <xf numFmtId="0" fontId="2" fillId="3" borderId="10" xfId="0" applyFont="1" applyFill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2" fillId="3" borderId="12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2" fillId="4" borderId="10" xfId="0" applyFont="1" applyFill="1" applyBorder="1" applyAlignment="1">
      <alignment wrapText="1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0" borderId="0" xfId="0" applyBorder="1"/>
    <xf numFmtId="0" fontId="2" fillId="3" borderId="0" xfId="0" applyFont="1" applyFill="1" applyBorder="1" applyAlignment="1">
      <alignment horizontal="center" wrapText="1"/>
    </xf>
    <xf numFmtId="170" fontId="0" fillId="0" borderId="0" xfId="0" applyNumberFormat="1"/>
  </cellXfs>
  <cellStyles count="81">
    <cellStyle name="Currency" xfId="1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3" tint="0.59999389629810485"/>
  </sheetPr>
  <dimension ref="B1:M39"/>
  <sheetViews>
    <sheetView zoomScale="150" zoomScaleNormal="150" zoomScalePageLayoutView="150" workbookViewId="0">
      <selection activeCell="G3" sqref="G3:J39"/>
    </sheetView>
  </sheetViews>
  <sheetFormatPr baseColWidth="10" defaultColWidth="8.83203125" defaultRowHeight="14" x14ac:dyDescent="0"/>
  <cols>
    <col min="1" max="1" width="1.6640625" customWidth="1"/>
    <col min="2" max="2" width="7.1640625" customWidth="1"/>
    <col min="3" max="3" width="9" customWidth="1"/>
    <col min="4" max="4" width="11.5" customWidth="1"/>
    <col min="5" max="5" width="9" customWidth="1"/>
    <col min="6" max="6" width="1.6640625" customWidth="1"/>
    <col min="7" max="7" width="7.1640625" customWidth="1"/>
    <col min="8" max="8" width="11.5" customWidth="1"/>
    <col min="9" max="10" width="12.1640625" customWidth="1"/>
    <col min="11" max="11" width="1.6640625" customWidth="1"/>
    <col min="12" max="12" width="10.1640625" customWidth="1"/>
    <col min="13" max="13" width="11.83203125" customWidth="1"/>
  </cols>
  <sheetData>
    <row r="1" spans="2:13" ht="9.75" customHeight="1"/>
    <row r="2" spans="2:13" ht="20.25" customHeight="1" thickBot="1">
      <c r="B2" s="20" t="s">
        <v>8</v>
      </c>
      <c r="G2" s="20" t="s">
        <v>10</v>
      </c>
      <c r="L2" s="20" t="s">
        <v>9</v>
      </c>
    </row>
    <row r="3" spans="2:13" ht="45" customHeight="1" thickBot="1">
      <c r="B3" s="25" t="s">
        <v>1</v>
      </c>
      <c r="C3" s="21" t="s">
        <v>0</v>
      </c>
      <c r="D3" s="22" t="s">
        <v>11</v>
      </c>
      <c r="E3" s="23" t="s">
        <v>7</v>
      </c>
      <c r="G3" s="25" t="s">
        <v>1</v>
      </c>
      <c r="H3" s="26" t="s">
        <v>3</v>
      </c>
      <c r="I3" s="27" t="s">
        <v>4</v>
      </c>
      <c r="J3" s="28" t="s">
        <v>5</v>
      </c>
      <c r="L3" s="25" t="s">
        <v>6</v>
      </c>
      <c r="M3" s="24" t="s">
        <v>2</v>
      </c>
    </row>
    <row r="4" spans="2:13">
      <c r="B4" s="1">
        <v>1</v>
      </c>
      <c r="C4" s="7">
        <v>1.9447000000000002E-2</v>
      </c>
      <c r="D4" s="5">
        <v>0.02</v>
      </c>
      <c r="E4" s="9">
        <v>2.4705000000000001E-2</v>
      </c>
      <c r="G4" s="1">
        <v>1</v>
      </c>
      <c r="H4" s="14">
        <v>10000</v>
      </c>
      <c r="I4" s="15">
        <v>15000</v>
      </c>
      <c r="J4" s="16">
        <v>17500</v>
      </c>
      <c r="L4" s="1" t="s">
        <v>3</v>
      </c>
      <c r="M4" s="3">
        <v>13</v>
      </c>
    </row>
    <row r="5" spans="2:13">
      <c r="B5" s="1">
        <f>B4+1</f>
        <v>2</v>
      </c>
      <c r="C5" s="7">
        <v>1.1733000000000002E-2</v>
      </c>
      <c r="D5" s="5">
        <v>2.5000000000000001E-2</v>
      </c>
      <c r="E5" s="9">
        <v>1.9234000000000001E-2</v>
      </c>
      <c r="G5" s="1">
        <f>G4+1</f>
        <v>2</v>
      </c>
      <c r="H5" s="11">
        <v>0</v>
      </c>
      <c r="I5" s="12">
        <v>0</v>
      </c>
      <c r="J5" s="13">
        <v>0</v>
      </c>
      <c r="L5" s="1" t="s">
        <v>4</v>
      </c>
      <c r="M5" s="3">
        <v>1</v>
      </c>
    </row>
    <row r="6" spans="2:13" ht="15" thickBot="1">
      <c r="B6" s="1">
        <f t="shared" ref="B6:B39" si="0">B5+1</f>
        <v>3</v>
      </c>
      <c r="C6" s="7">
        <v>7.6290000000000021E-3</v>
      </c>
      <c r="D6" s="5">
        <v>3.0000000000000002E-2</v>
      </c>
      <c r="E6" s="9">
        <v>1.2700000000000003E-2</v>
      </c>
      <c r="G6" s="1">
        <f t="shared" ref="G6:G39" si="1">G5+1</f>
        <v>3</v>
      </c>
      <c r="H6" s="11">
        <v>0</v>
      </c>
      <c r="I6" s="12">
        <v>0</v>
      </c>
      <c r="J6" s="13">
        <v>0</v>
      </c>
      <c r="L6" s="2" t="s">
        <v>5</v>
      </c>
      <c r="M6" s="4">
        <v>22</v>
      </c>
    </row>
    <row r="7" spans="2:13">
      <c r="B7" s="1">
        <f t="shared" si="0"/>
        <v>4</v>
      </c>
      <c r="C7" s="7">
        <v>6.7820000000000024E-3</v>
      </c>
      <c r="D7" s="5">
        <v>3.5000000000000003E-2</v>
      </c>
      <c r="E7" s="9">
        <v>1.4832000000000001E-2</v>
      </c>
      <c r="G7" s="1">
        <f t="shared" si="1"/>
        <v>4</v>
      </c>
      <c r="H7" s="11">
        <v>2500</v>
      </c>
      <c r="I7" s="12">
        <v>0</v>
      </c>
      <c r="J7" s="13">
        <v>0</v>
      </c>
    </row>
    <row r="8" spans="2:13">
      <c r="B8" s="1">
        <f t="shared" si="0"/>
        <v>5</v>
      </c>
      <c r="C8" s="7">
        <v>1.2039000000000003E-2</v>
      </c>
      <c r="D8" s="5">
        <v>0.04</v>
      </c>
      <c r="E8" s="9">
        <v>1.6819000000000004E-2</v>
      </c>
      <c r="G8" s="1">
        <f t="shared" si="1"/>
        <v>5</v>
      </c>
      <c r="H8" s="11">
        <v>0</v>
      </c>
      <c r="I8" s="12">
        <v>0</v>
      </c>
      <c r="J8" s="13">
        <v>0</v>
      </c>
    </row>
    <row r="9" spans="2:13">
      <c r="B9" s="1">
        <f t="shared" si="0"/>
        <v>6</v>
      </c>
      <c r="C9" s="7">
        <v>5.1870000000000032E-3</v>
      </c>
      <c r="D9" s="5">
        <v>4.4999999999999998E-2</v>
      </c>
      <c r="E9" s="9">
        <v>7.4230000000000034E-3</v>
      </c>
      <c r="G9" s="1">
        <f t="shared" si="1"/>
        <v>6</v>
      </c>
      <c r="H9" s="11">
        <v>0</v>
      </c>
      <c r="I9" s="12">
        <v>0</v>
      </c>
      <c r="J9" s="13">
        <v>0</v>
      </c>
    </row>
    <row r="10" spans="2:13">
      <c r="B10" s="1">
        <f t="shared" si="0"/>
        <v>7</v>
      </c>
      <c r="C10" s="7">
        <v>5.7000000000000037E-3</v>
      </c>
      <c r="D10" s="5">
        <v>4.9999999999999996E-2</v>
      </c>
      <c r="E10" s="9">
        <v>5.8650000000000039E-3</v>
      </c>
      <c r="G10" s="1">
        <f t="shared" si="1"/>
        <v>7</v>
      </c>
      <c r="H10" s="11">
        <v>2500</v>
      </c>
      <c r="I10" s="12">
        <v>0</v>
      </c>
      <c r="J10" s="13">
        <v>0</v>
      </c>
    </row>
    <row r="11" spans="2:13">
      <c r="B11" s="1">
        <f t="shared" si="0"/>
        <v>8</v>
      </c>
      <c r="C11" s="7">
        <v>5.4450000000000037E-3</v>
      </c>
      <c r="D11" s="5">
        <v>5.4999999999999993E-2</v>
      </c>
      <c r="E11" s="9">
        <v>6.1230000000000034E-3</v>
      </c>
      <c r="G11" s="1">
        <f t="shared" si="1"/>
        <v>8</v>
      </c>
      <c r="H11" s="11">
        <v>0</v>
      </c>
      <c r="I11" s="12">
        <v>0</v>
      </c>
      <c r="J11" s="13">
        <v>0</v>
      </c>
    </row>
    <row r="12" spans="2:13">
      <c r="B12" s="1">
        <f t="shared" si="0"/>
        <v>9</v>
      </c>
      <c r="C12" s="7">
        <v>-2.0549999999999961E-3</v>
      </c>
      <c r="D12" s="5">
        <v>5.9999999999999991E-2</v>
      </c>
      <c r="E12" s="9">
        <v>5.6219999999999959E-3</v>
      </c>
      <c r="G12" s="1">
        <f t="shared" si="1"/>
        <v>9</v>
      </c>
      <c r="H12" s="11">
        <v>0</v>
      </c>
      <c r="I12" s="12">
        <v>0</v>
      </c>
      <c r="J12" s="13">
        <v>0</v>
      </c>
    </row>
    <row r="13" spans="2:13">
      <c r="B13" s="1">
        <f t="shared" si="0"/>
        <v>10</v>
      </c>
      <c r="C13" s="7">
        <v>-1.1939999999999996E-2</v>
      </c>
      <c r="D13" s="5">
        <v>6.4999999999999988E-2</v>
      </c>
      <c r="E13" s="9">
        <v>1.2194999999999996E-2</v>
      </c>
      <c r="G13" s="1">
        <f t="shared" si="1"/>
        <v>10</v>
      </c>
      <c r="H13" s="11">
        <v>2500</v>
      </c>
      <c r="I13" s="12">
        <v>0</v>
      </c>
      <c r="J13" s="13">
        <v>0</v>
      </c>
    </row>
    <row r="14" spans="2:13">
      <c r="B14" s="1">
        <f t="shared" si="0"/>
        <v>11</v>
      </c>
      <c r="C14" s="7">
        <v>-1.2825999999999995E-2</v>
      </c>
      <c r="D14" s="5">
        <v>6.9999999999999993E-2</v>
      </c>
      <c r="E14" s="9">
        <v>1.9783999999999996E-2</v>
      </c>
      <c r="G14" s="1">
        <f t="shared" si="1"/>
        <v>11</v>
      </c>
      <c r="H14" s="11">
        <v>0</v>
      </c>
      <c r="I14" s="12">
        <v>0</v>
      </c>
      <c r="J14" s="13">
        <v>0</v>
      </c>
    </row>
    <row r="15" spans="2:13">
      <c r="B15" s="1">
        <f t="shared" si="0"/>
        <v>12</v>
      </c>
      <c r="C15" s="7">
        <v>-1.1013999999999996E-2</v>
      </c>
      <c r="D15" s="5">
        <v>7.4999999999999997E-2</v>
      </c>
      <c r="E15" s="9">
        <v>1.4735999999999996E-2</v>
      </c>
      <c r="G15" s="1">
        <f t="shared" si="1"/>
        <v>12</v>
      </c>
      <c r="H15" s="11">
        <v>0</v>
      </c>
      <c r="I15" s="12">
        <v>0</v>
      </c>
      <c r="J15" s="13">
        <v>0</v>
      </c>
    </row>
    <row r="16" spans="2:13">
      <c r="B16" s="1">
        <f t="shared" si="0"/>
        <v>13</v>
      </c>
      <c r="C16" s="7">
        <v>-1.3960999999999996E-2</v>
      </c>
      <c r="D16" s="5">
        <v>0.08</v>
      </c>
      <c r="E16" s="9">
        <v>1.9972999999999998E-2</v>
      </c>
      <c r="G16" s="1">
        <f t="shared" si="1"/>
        <v>13</v>
      </c>
      <c r="H16" s="11">
        <v>2500</v>
      </c>
      <c r="I16" s="12">
        <v>5000</v>
      </c>
      <c r="J16" s="13">
        <v>0</v>
      </c>
    </row>
    <row r="17" spans="2:10">
      <c r="B17" s="1">
        <f t="shared" si="0"/>
        <v>14</v>
      </c>
      <c r="C17" s="7">
        <v>-1.5745999999999996E-2</v>
      </c>
      <c r="D17" s="5">
        <v>8.5000000000000006E-2</v>
      </c>
      <c r="E17" s="9">
        <v>2.2050999999999994E-2</v>
      </c>
      <c r="G17" s="1">
        <f t="shared" si="1"/>
        <v>14</v>
      </c>
      <c r="H17" s="11">
        <v>0</v>
      </c>
      <c r="I17" s="12">
        <v>0</v>
      </c>
      <c r="J17" s="13">
        <v>0</v>
      </c>
    </row>
    <row r="18" spans="2:10">
      <c r="B18" s="1">
        <f t="shared" si="0"/>
        <v>15</v>
      </c>
      <c r="C18" s="7">
        <v>-1.1960999999999996E-2</v>
      </c>
      <c r="D18" s="5">
        <v>9.0000000000000011E-2</v>
      </c>
      <c r="E18" s="9">
        <v>1.5844999999999995E-2</v>
      </c>
      <c r="G18" s="1">
        <f t="shared" si="1"/>
        <v>15</v>
      </c>
      <c r="H18" s="11">
        <v>0</v>
      </c>
      <c r="I18" s="12">
        <v>0</v>
      </c>
      <c r="J18" s="13">
        <v>0</v>
      </c>
    </row>
    <row r="19" spans="2:10">
      <c r="B19" s="1">
        <f t="shared" si="0"/>
        <v>16</v>
      </c>
      <c r="C19" s="7">
        <v>-1.3185999999999996E-2</v>
      </c>
      <c r="D19" s="5">
        <v>9.5000000000000015E-2</v>
      </c>
      <c r="E19" s="9">
        <v>1.8419999999999995E-2</v>
      </c>
      <c r="G19" s="1">
        <f t="shared" si="1"/>
        <v>16</v>
      </c>
      <c r="H19" s="11">
        <v>2500</v>
      </c>
      <c r="I19" s="12">
        <v>0</v>
      </c>
      <c r="J19" s="13">
        <v>0</v>
      </c>
    </row>
    <row r="20" spans="2:10">
      <c r="B20" s="1">
        <f t="shared" si="0"/>
        <v>17</v>
      </c>
      <c r="C20" s="7">
        <v>-1.7870999999999998E-2</v>
      </c>
      <c r="D20" s="5">
        <v>0.10000000000000002</v>
      </c>
      <c r="E20" s="9">
        <v>2.1705999999999996E-2</v>
      </c>
      <c r="G20" s="1">
        <f t="shared" si="1"/>
        <v>17</v>
      </c>
      <c r="H20" s="11">
        <v>0</v>
      </c>
      <c r="I20" s="12">
        <v>0</v>
      </c>
      <c r="J20" s="13">
        <v>0</v>
      </c>
    </row>
    <row r="21" spans="2:10">
      <c r="B21" s="1">
        <f t="shared" si="0"/>
        <v>18</v>
      </c>
      <c r="C21" s="7">
        <v>-9.0659999999999977E-3</v>
      </c>
      <c r="D21" s="5">
        <v>0.10500000000000002</v>
      </c>
      <c r="E21" s="9">
        <v>1.1077999999999998E-2</v>
      </c>
      <c r="G21" s="1">
        <f t="shared" si="1"/>
        <v>18</v>
      </c>
      <c r="H21" s="11">
        <v>0</v>
      </c>
      <c r="I21" s="12">
        <v>0</v>
      </c>
      <c r="J21" s="13">
        <v>0</v>
      </c>
    </row>
    <row r="22" spans="2:10">
      <c r="B22" s="1">
        <f t="shared" si="0"/>
        <v>19</v>
      </c>
      <c r="C22" s="7">
        <v>-7.9729999999999975E-3</v>
      </c>
      <c r="D22" s="5">
        <v>0.11000000000000003</v>
      </c>
      <c r="E22" s="9">
        <v>1.6596999999999997E-2</v>
      </c>
      <c r="G22" s="1">
        <f t="shared" si="1"/>
        <v>19</v>
      </c>
      <c r="H22" s="11">
        <v>2500</v>
      </c>
      <c r="I22" s="12">
        <v>0</v>
      </c>
      <c r="J22" s="13">
        <v>0</v>
      </c>
    </row>
    <row r="23" spans="2:10">
      <c r="B23" s="1">
        <f t="shared" si="0"/>
        <v>20</v>
      </c>
      <c r="C23" s="7">
        <v>-1.0521999999999997E-2</v>
      </c>
      <c r="D23" s="5">
        <v>0.11500000000000003</v>
      </c>
      <c r="E23" s="9">
        <v>1.9500999999999998E-2</v>
      </c>
      <c r="G23" s="1">
        <f t="shared" si="1"/>
        <v>20</v>
      </c>
      <c r="H23" s="11">
        <v>0</v>
      </c>
      <c r="I23" s="12">
        <v>0</v>
      </c>
      <c r="J23" s="13">
        <v>0</v>
      </c>
    </row>
    <row r="24" spans="2:10">
      <c r="B24" s="1">
        <f t="shared" si="0"/>
        <v>21</v>
      </c>
      <c r="C24" s="7">
        <v>-1.1375999999999997E-2</v>
      </c>
      <c r="D24" s="5">
        <v>0.12000000000000004</v>
      </c>
      <c r="E24" s="9">
        <v>1.6013999999999997E-2</v>
      </c>
      <c r="G24" s="1">
        <f t="shared" si="1"/>
        <v>21</v>
      </c>
      <c r="H24" s="11">
        <v>0</v>
      </c>
      <c r="I24" s="12">
        <v>0</v>
      </c>
      <c r="J24" s="13">
        <v>0</v>
      </c>
    </row>
    <row r="25" spans="2:10">
      <c r="B25" s="1">
        <f t="shared" si="0"/>
        <v>22</v>
      </c>
      <c r="C25" s="7">
        <v>-1.1715999999999997E-2</v>
      </c>
      <c r="D25" s="5">
        <v>0.12500000000000003</v>
      </c>
      <c r="E25" s="9">
        <v>1.9234999999999995E-2</v>
      </c>
      <c r="G25" s="1">
        <f t="shared" si="1"/>
        <v>22</v>
      </c>
      <c r="H25" s="11">
        <v>2500</v>
      </c>
      <c r="I25" s="12">
        <v>0</v>
      </c>
      <c r="J25" s="13">
        <v>0</v>
      </c>
    </row>
    <row r="26" spans="2:10">
      <c r="B26" s="1">
        <f t="shared" si="0"/>
        <v>23</v>
      </c>
      <c r="C26" s="7">
        <v>-1.3902999999999997E-2</v>
      </c>
      <c r="D26" s="5">
        <v>0.13000000000000003</v>
      </c>
      <c r="E26" s="9">
        <v>1.8726999999999997E-2</v>
      </c>
      <c r="G26" s="1">
        <f t="shared" si="1"/>
        <v>23</v>
      </c>
      <c r="H26" s="11">
        <v>0</v>
      </c>
      <c r="I26" s="12">
        <v>0</v>
      </c>
      <c r="J26" s="13">
        <v>0</v>
      </c>
    </row>
    <row r="27" spans="2:10">
      <c r="B27" s="1">
        <f t="shared" si="0"/>
        <v>24</v>
      </c>
      <c r="C27" s="7">
        <v>-2.1199999999999997E-2</v>
      </c>
      <c r="D27" s="5">
        <v>0.13500000000000004</v>
      </c>
      <c r="E27" s="9">
        <v>2.3176999999999996E-2</v>
      </c>
      <c r="G27" s="1">
        <f t="shared" si="1"/>
        <v>24</v>
      </c>
      <c r="H27" s="11">
        <v>0</v>
      </c>
      <c r="I27" s="12">
        <v>0</v>
      </c>
      <c r="J27" s="13">
        <v>0</v>
      </c>
    </row>
    <row r="28" spans="2:10">
      <c r="B28" s="1">
        <f t="shared" si="0"/>
        <v>25</v>
      </c>
      <c r="C28" s="7">
        <v>-2.7170999999999997E-2</v>
      </c>
      <c r="D28" s="5">
        <v>0.14000000000000004</v>
      </c>
      <c r="E28" s="9">
        <v>3.4644999999999995E-2</v>
      </c>
      <c r="G28" s="1">
        <f t="shared" si="1"/>
        <v>25</v>
      </c>
      <c r="H28" s="11">
        <v>2500</v>
      </c>
      <c r="I28" s="12">
        <v>5000</v>
      </c>
      <c r="J28" s="13">
        <v>0</v>
      </c>
    </row>
    <row r="29" spans="2:10">
      <c r="B29" s="1">
        <f t="shared" si="0"/>
        <v>26</v>
      </c>
      <c r="C29" s="7">
        <v>-2.0009999999999997E-2</v>
      </c>
      <c r="D29" s="5">
        <v>0.14500000000000005</v>
      </c>
      <c r="E29" s="9">
        <v>2.7861999999999998E-2</v>
      </c>
      <c r="G29" s="1">
        <f t="shared" si="1"/>
        <v>26</v>
      </c>
      <c r="H29" s="11">
        <v>0</v>
      </c>
      <c r="I29" s="12">
        <v>0</v>
      </c>
      <c r="J29" s="13">
        <v>0</v>
      </c>
    </row>
    <row r="30" spans="2:10">
      <c r="B30" s="1">
        <f t="shared" si="0"/>
        <v>27</v>
      </c>
      <c r="C30" s="7">
        <v>-2.9980999999999997E-2</v>
      </c>
      <c r="D30" s="5">
        <v>0.15000000000000005</v>
      </c>
      <c r="E30" s="9">
        <v>3.6169999999999994E-2</v>
      </c>
      <c r="G30" s="1">
        <f t="shared" si="1"/>
        <v>27</v>
      </c>
      <c r="H30" s="11">
        <v>0</v>
      </c>
      <c r="I30" s="12">
        <v>0</v>
      </c>
      <c r="J30" s="13">
        <v>0</v>
      </c>
    </row>
    <row r="31" spans="2:10">
      <c r="B31" s="1">
        <f t="shared" si="0"/>
        <v>28</v>
      </c>
      <c r="C31" s="7">
        <v>-2.7548999999999997E-2</v>
      </c>
      <c r="D31" s="5">
        <v>0.15500000000000005</v>
      </c>
      <c r="E31" s="9">
        <v>2.9783999999999998E-2</v>
      </c>
      <c r="G31" s="1">
        <f t="shared" si="1"/>
        <v>28</v>
      </c>
      <c r="H31" s="11">
        <v>2500</v>
      </c>
      <c r="I31" s="12">
        <v>0</v>
      </c>
      <c r="J31" s="13">
        <v>0</v>
      </c>
    </row>
    <row r="32" spans="2:10">
      <c r="B32" s="1">
        <f t="shared" si="0"/>
        <v>29</v>
      </c>
      <c r="C32" s="7">
        <v>-3.6648E-2</v>
      </c>
      <c r="D32" s="5">
        <v>0.16000000000000006</v>
      </c>
      <c r="E32" s="9">
        <v>3.8108000000000003E-2</v>
      </c>
      <c r="G32" s="1">
        <f t="shared" si="1"/>
        <v>29</v>
      </c>
      <c r="H32" s="11">
        <v>0</v>
      </c>
      <c r="I32" s="12">
        <v>0</v>
      </c>
      <c r="J32" s="13">
        <v>0</v>
      </c>
    </row>
    <row r="33" spans="2:10">
      <c r="B33" s="1">
        <f t="shared" si="0"/>
        <v>30</v>
      </c>
      <c r="C33" s="7">
        <v>-2.9627000000000001E-2</v>
      </c>
      <c r="D33" s="5">
        <v>0.16500000000000006</v>
      </c>
      <c r="E33" s="9">
        <v>3.1067000000000001E-2</v>
      </c>
      <c r="G33" s="1">
        <f t="shared" si="1"/>
        <v>30</v>
      </c>
      <c r="H33" s="11">
        <v>0</v>
      </c>
      <c r="I33" s="12">
        <v>0</v>
      </c>
      <c r="J33" s="13">
        <v>0</v>
      </c>
    </row>
    <row r="34" spans="2:10">
      <c r="B34" s="1">
        <f t="shared" si="0"/>
        <v>31</v>
      </c>
      <c r="C34" s="7">
        <v>-2.401E-2</v>
      </c>
      <c r="D34" s="5">
        <v>0.17000000000000007</v>
      </c>
      <c r="E34" s="9">
        <v>2.9072000000000001E-2</v>
      </c>
      <c r="G34" s="1">
        <f t="shared" si="1"/>
        <v>31</v>
      </c>
      <c r="H34" s="11">
        <v>2500</v>
      </c>
      <c r="I34" s="12">
        <v>0</v>
      </c>
      <c r="J34" s="13">
        <v>0</v>
      </c>
    </row>
    <row r="35" spans="2:10">
      <c r="B35" s="1">
        <f t="shared" si="0"/>
        <v>32</v>
      </c>
      <c r="C35" s="7">
        <v>-1.9605999999999998E-2</v>
      </c>
      <c r="D35" s="5">
        <v>0.17500000000000007</v>
      </c>
      <c r="E35" s="9">
        <v>2.0662999999999997E-2</v>
      </c>
      <c r="G35" s="1">
        <f t="shared" si="1"/>
        <v>32</v>
      </c>
      <c r="H35" s="11">
        <v>0</v>
      </c>
      <c r="I35" s="12">
        <v>0</v>
      </c>
      <c r="J35" s="13">
        <v>0</v>
      </c>
    </row>
    <row r="36" spans="2:10">
      <c r="B36" s="1">
        <f t="shared" si="0"/>
        <v>33</v>
      </c>
      <c r="C36" s="7">
        <v>-2.5354999999999999E-2</v>
      </c>
      <c r="D36" s="5">
        <v>0.18000000000000008</v>
      </c>
      <c r="E36" s="9">
        <v>3.2585999999999997E-2</v>
      </c>
      <c r="G36" s="1">
        <f t="shared" si="1"/>
        <v>33</v>
      </c>
      <c r="H36" s="11">
        <v>0</v>
      </c>
      <c r="I36" s="12">
        <v>0</v>
      </c>
      <c r="J36" s="13">
        <v>0</v>
      </c>
    </row>
    <row r="37" spans="2:10">
      <c r="B37" s="1">
        <f t="shared" si="0"/>
        <v>34</v>
      </c>
      <c r="C37" s="7">
        <v>-2.9228000000000001E-2</v>
      </c>
      <c r="D37" s="5">
        <v>0.18500000000000008</v>
      </c>
      <c r="E37" s="9">
        <v>3.1040000000000002E-2</v>
      </c>
      <c r="G37" s="1">
        <f t="shared" si="1"/>
        <v>34</v>
      </c>
      <c r="H37" s="11">
        <v>2500</v>
      </c>
      <c r="I37" s="12">
        <v>0</v>
      </c>
      <c r="J37" s="13">
        <v>0</v>
      </c>
    </row>
    <row r="38" spans="2:10">
      <c r="B38" s="1">
        <f t="shared" si="0"/>
        <v>35</v>
      </c>
      <c r="C38" s="7">
        <v>-2.6268E-2</v>
      </c>
      <c r="D38" s="5">
        <v>0.19000000000000009</v>
      </c>
      <c r="E38" s="9">
        <v>2.7660000000000001E-2</v>
      </c>
      <c r="G38" s="1">
        <f t="shared" si="1"/>
        <v>35</v>
      </c>
      <c r="H38" s="11">
        <v>0</v>
      </c>
      <c r="I38" s="12">
        <v>0</v>
      </c>
      <c r="J38" s="13">
        <v>0</v>
      </c>
    </row>
    <row r="39" spans="2:10" ht="15" thickBot="1">
      <c r="B39" s="2">
        <f t="shared" si="0"/>
        <v>36</v>
      </c>
      <c r="C39" s="8">
        <v>-1.7417999999999999E-2</v>
      </c>
      <c r="D39" s="6">
        <v>0.19500000000000009</v>
      </c>
      <c r="E39" s="10">
        <v>2.3966999999999999E-2</v>
      </c>
      <c r="G39" s="2">
        <f t="shared" si="1"/>
        <v>36</v>
      </c>
      <c r="H39" s="17">
        <v>0</v>
      </c>
      <c r="I39" s="18">
        <v>0</v>
      </c>
      <c r="J39" s="19">
        <v>0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7" tint="0.59999389629810485"/>
  </sheetPr>
  <dimension ref="B1:T40"/>
  <sheetViews>
    <sheetView tabSelected="1" topLeftCell="K1" zoomScale="150" zoomScaleNormal="150" zoomScalePageLayoutView="150" workbookViewId="0">
      <selection activeCell="N13" sqref="N13"/>
    </sheetView>
  </sheetViews>
  <sheetFormatPr baseColWidth="10" defaultColWidth="8.83203125" defaultRowHeight="14" x14ac:dyDescent="0"/>
  <cols>
    <col min="1" max="1" width="1.6640625" customWidth="1"/>
    <col min="2" max="2" width="7.1640625" customWidth="1"/>
    <col min="3" max="3" width="9" customWidth="1"/>
    <col min="4" max="4" width="11.5" customWidth="1"/>
    <col min="5" max="5" width="9" customWidth="1"/>
    <col min="6" max="6" width="1.6640625" customWidth="1"/>
    <col min="7" max="7" width="7.1640625" customWidth="1"/>
    <col min="8" max="8" width="11.5" customWidth="1"/>
    <col min="9" max="10" width="12.1640625" customWidth="1"/>
    <col min="11" max="11" width="1.6640625" customWidth="1"/>
    <col min="12" max="12" width="10.1640625" customWidth="1"/>
    <col min="13" max="14" width="11.83203125" customWidth="1"/>
    <col min="17" max="19" width="14.83203125" bestFit="1" customWidth="1"/>
    <col min="20" max="20" width="15.1640625" customWidth="1"/>
  </cols>
  <sheetData>
    <row r="1" spans="2:20" ht="9.75" customHeight="1"/>
    <row r="2" spans="2:20" ht="20.25" customHeight="1" thickBot="1">
      <c r="B2" s="20" t="s">
        <v>8</v>
      </c>
      <c r="G2" s="20" t="s">
        <v>10</v>
      </c>
      <c r="L2" s="20" t="s">
        <v>9</v>
      </c>
      <c r="Q2" t="s">
        <v>5</v>
      </c>
      <c r="S2" t="s">
        <v>16</v>
      </c>
      <c r="T2">
        <f>ROUND(SUMPRODUCT(R4:R39,T4:T39),2)</f>
        <v>30904.45</v>
      </c>
    </row>
    <row r="3" spans="2:20" ht="45" customHeight="1" thickBot="1">
      <c r="B3" s="25" t="s">
        <v>1</v>
      </c>
      <c r="C3" s="21" t="s">
        <v>0</v>
      </c>
      <c r="D3" s="22" t="s">
        <v>11</v>
      </c>
      <c r="E3" s="23" t="s">
        <v>7</v>
      </c>
      <c r="G3" s="25" t="s">
        <v>1</v>
      </c>
      <c r="H3" s="26" t="s">
        <v>3</v>
      </c>
      <c r="I3" s="27" t="s">
        <v>4</v>
      </c>
      <c r="J3" s="28" t="s">
        <v>5</v>
      </c>
      <c r="L3" s="25" t="s">
        <v>6</v>
      </c>
      <c r="M3" s="24" t="s">
        <v>2</v>
      </c>
      <c r="N3" s="33" t="s">
        <v>17</v>
      </c>
      <c r="P3" s="29" t="s">
        <v>1</v>
      </c>
      <c r="Q3" s="30" t="s">
        <v>13</v>
      </c>
      <c r="R3" s="30" t="s">
        <v>12</v>
      </c>
      <c r="S3" s="30" t="s">
        <v>14</v>
      </c>
      <c r="T3" s="30" t="s">
        <v>15</v>
      </c>
    </row>
    <row r="4" spans="2:20">
      <c r="B4" s="1">
        <v>1</v>
      </c>
      <c r="C4" s="7">
        <v>1.9447000000000002E-2</v>
      </c>
      <c r="D4" s="5">
        <v>0.02</v>
      </c>
      <c r="E4" s="9">
        <v>2.4705000000000001E-2</v>
      </c>
      <c r="G4" s="1">
        <v>1</v>
      </c>
      <c r="H4" s="14">
        <v>10000</v>
      </c>
      <c r="I4" s="15">
        <v>15000</v>
      </c>
      <c r="J4" s="16">
        <v>17500</v>
      </c>
      <c r="L4" s="1" t="s">
        <v>3</v>
      </c>
      <c r="M4" s="3">
        <v>13</v>
      </c>
      <c r="N4" s="32">
        <v>32322.74</v>
      </c>
      <c r="P4" s="31">
        <v>1</v>
      </c>
      <c r="Q4" s="12">
        <f>H4*(1+C4)^(1/12)</f>
        <v>10016.0631569626</v>
      </c>
      <c r="R4" s="12">
        <f>IF(P4&lt;VLOOKUP($Q$2,$L$4:$M$6,2,FALSE),0,Q4*D4)</f>
        <v>0</v>
      </c>
      <c r="S4" s="12">
        <f>Q4-R4</f>
        <v>10016.0631569626</v>
      </c>
      <c r="T4" s="32">
        <f>(1+E4)^(-1/12)</f>
        <v>0.99796833610465041</v>
      </c>
    </row>
    <row r="5" spans="2:20">
      <c r="B5" s="1">
        <f>B4+1</f>
        <v>2</v>
      </c>
      <c r="C5" s="7">
        <v>1.1733000000000002E-2</v>
      </c>
      <c r="D5" s="5">
        <v>2.5000000000000001E-2</v>
      </c>
      <c r="E5" s="9">
        <v>1.9234000000000001E-2</v>
      </c>
      <c r="G5" s="1">
        <f>G4+1</f>
        <v>2</v>
      </c>
      <c r="H5" s="11"/>
      <c r="I5" s="12">
        <v>0</v>
      </c>
      <c r="J5" s="13">
        <v>0</v>
      </c>
      <c r="L5" s="1" t="s">
        <v>4</v>
      </c>
      <c r="M5" s="3">
        <v>1</v>
      </c>
      <c r="N5" s="32">
        <v>32703.22</v>
      </c>
      <c r="P5" s="31">
        <f>P4+1</f>
        <v>2</v>
      </c>
      <c r="Q5" s="12">
        <f>(H5+S4)*(1+C5)^(1/12)</f>
        <v>10025.804089954703</v>
      </c>
      <c r="R5" s="12">
        <f t="shared" ref="R5:R39" si="0">IF(P5&lt;VLOOKUP($Q$2,$L$4:$M$6,2,FALSE),0,Q5*D5)</f>
        <v>0</v>
      </c>
      <c r="S5" s="12">
        <f t="shared" ref="S5:S39" si="1">Q5-R5</f>
        <v>10025.804089954703</v>
      </c>
      <c r="T5" s="32">
        <f>(1+E5)^(-1/12)*T4</f>
        <v>0.99638520490367488</v>
      </c>
    </row>
    <row r="6" spans="2:20" ht="15" thickBot="1">
      <c r="B6" s="1">
        <f t="shared" ref="B6:B39" si="2">B5+1</f>
        <v>3</v>
      </c>
      <c r="C6" s="7">
        <v>7.6290000000000021E-3</v>
      </c>
      <c r="D6" s="5">
        <v>3.0000000000000002E-2</v>
      </c>
      <c r="E6" s="9">
        <v>1.2700000000000003E-2</v>
      </c>
      <c r="G6" s="1">
        <f t="shared" ref="G6:G39" si="3">G5+1</f>
        <v>3</v>
      </c>
      <c r="H6" s="11"/>
      <c r="I6" s="12">
        <v>0</v>
      </c>
      <c r="J6" s="13">
        <v>0</v>
      </c>
      <c r="L6" s="2" t="s">
        <v>5</v>
      </c>
      <c r="M6" s="4">
        <v>22</v>
      </c>
      <c r="N6" s="32">
        <v>30904.45</v>
      </c>
      <c r="P6" s="31">
        <f t="shared" ref="P6:P39" si="4">P5+1</f>
        <v>3</v>
      </c>
      <c r="Q6" s="12">
        <f t="shared" ref="Q6:Q39" si="5">(H6+S5)*(1+C6)^(1/12)</f>
        <v>10032.155815778253</v>
      </c>
      <c r="R6" s="12">
        <f t="shared" si="0"/>
        <v>0</v>
      </c>
      <c r="S6" s="12">
        <f t="shared" si="1"/>
        <v>10032.155815778253</v>
      </c>
      <c r="T6" s="32">
        <f t="shared" ref="T6:T39" si="6">(1+E6)^(-1/12)*T5</f>
        <v>0.99533788800498746</v>
      </c>
    </row>
    <row r="7" spans="2:20">
      <c r="B7" s="1">
        <f t="shared" si="2"/>
        <v>4</v>
      </c>
      <c r="C7" s="7">
        <v>6.7820000000000024E-3</v>
      </c>
      <c r="D7" s="5">
        <v>3.5000000000000003E-2</v>
      </c>
      <c r="E7" s="9">
        <v>1.4832000000000001E-2</v>
      </c>
      <c r="G7" s="1">
        <f t="shared" si="3"/>
        <v>4</v>
      </c>
      <c r="H7" s="11">
        <v>2500</v>
      </c>
      <c r="I7" s="12">
        <v>0</v>
      </c>
      <c r="J7" s="13">
        <v>0</v>
      </c>
      <c r="L7" s="31" t="s">
        <v>18</v>
      </c>
      <c r="N7" s="34">
        <v>31976.803333333333</v>
      </c>
      <c r="P7" s="31">
        <f t="shared" si="4"/>
        <v>4</v>
      </c>
      <c r="Q7" s="12">
        <f t="shared" si="5"/>
        <v>12539.216651273282</v>
      </c>
      <c r="R7" s="12">
        <f t="shared" si="0"/>
        <v>0</v>
      </c>
      <c r="S7" s="12">
        <f t="shared" si="1"/>
        <v>12539.216651273282</v>
      </c>
      <c r="T7" s="32">
        <f t="shared" si="6"/>
        <v>0.99411743345210302</v>
      </c>
    </row>
    <row r="8" spans="2:20">
      <c r="B8" s="1">
        <f t="shared" si="2"/>
        <v>5</v>
      </c>
      <c r="C8" s="7">
        <v>1.2039000000000003E-2</v>
      </c>
      <c r="D8" s="5">
        <v>0.04</v>
      </c>
      <c r="E8" s="9">
        <v>1.6819000000000004E-2</v>
      </c>
      <c r="G8" s="1">
        <f t="shared" si="3"/>
        <v>5</v>
      </c>
      <c r="H8" s="11">
        <v>0</v>
      </c>
      <c r="I8" s="12">
        <v>0</v>
      </c>
      <c r="J8" s="13">
        <v>0</v>
      </c>
      <c r="P8" s="31">
        <f t="shared" si="4"/>
        <v>5</v>
      </c>
      <c r="Q8" s="12">
        <f t="shared" si="5"/>
        <v>12551.727734947452</v>
      </c>
      <c r="R8" s="12">
        <f t="shared" si="0"/>
        <v>0</v>
      </c>
      <c r="S8" s="12">
        <f t="shared" si="1"/>
        <v>12551.727734947452</v>
      </c>
      <c r="T8" s="32">
        <f t="shared" si="6"/>
        <v>0.99273664238069115</v>
      </c>
    </row>
    <row r="9" spans="2:20">
      <c r="B9" s="1">
        <f t="shared" si="2"/>
        <v>6</v>
      </c>
      <c r="C9" s="7">
        <v>5.1870000000000032E-3</v>
      </c>
      <c r="D9" s="5">
        <v>4.4999999999999998E-2</v>
      </c>
      <c r="E9" s="9">
        <v>7.4230000000000034E-3</v>
      </c>
      <c r="G9" s="1">
        <f t="shared" si="3"/>
        <v>6</v>
      </c>
      <c r="H9" s="11">
        <v>0</v>
      </c>
      <c r="I9" s="12">
        <v>0</v>
      </c>
      <c r="J9" s="13">
        <v>0</v>
      </c>
      <c r="P9" s="31">
        <f t="shared" si="4"/>
        <v>6</v>
      </c>
      <c r="Q9" s="12">
        <f t="shared" si="5"/>
        <v>12557.140363433358</v>
      </c>
      <c r="R9" s="12">
        <f t="shared" si="0"/>
        <v>0</v>
      </c>
      <c r="S9" s="12">
        <f t="shared" si="1"/>
        <v>12557.140363433358</v>
      </c>
      <c r="T9" s="32">
        <f t="shared" si="6"/>
        <v>0.99212500851302321</v>
      </c>
    </row>
    <row r="10" spans="2:20">
      <c r="B10" s="1">
        <f t="shared" si="2"/>
        <v>7</v>
      </c>
      <c r="C10" s="7">
        <v>5.7000000000000037E-3</v>
      </c>
      <c r="D10" s="5">
        <v>4.9999999999999996E-2</v>
      </c>
      <c r="E10" s="9">
        <v>5.8650000000000039E-3</v>
      </c>
      <c r="G10" s="1">
        <f t="shared" si="3"/>
        <v>7</v>
      </c>
      <c r="H10" s="11">
        <v>2500</v>
      </c>
      <c r="I10" s="12">
        <v>0</v>
      </c>
      <c r="J10" s="13">
        <v>0</v>
      </c>
      <c r="P10" s="31">
        <f t="shared" si="4"/>
        <v>7</v>
      </c>
      <c r="Q10" s="12">
        <f t="shared" si="5"/>
        <v>15064.273887898749</v>
      </c>
      <c r="R10" s="12">
        <f t="shared" si="0"/>
        <v>0</v>
      </c>
      <c r="S10" s="12">
        <f t="shared" si="1"/>
        <v>15064.273887898749</v>
      </c>
      <c r="T10" s="32">
        <f t="shared" si="6"/>
        <v>0.99164164163931146</v>
      </c>
    </row>
    <row r="11" spans="2:20">
      <c r="B11" s="1">
        <f t="shared" si="2"/>
        <v>8</v>
      </c>
      <c r="C11" s="7">
        <v>5.4450000000000037E-3</v>
      </c>
      <c r="D11" s="5">
        <v>5.4999999999999993E-2</v>
      </c>
      <c r="E11" s="9">
        <v>6.1230000000000034E-3</v>
      </c>
      <c r="G11" s="1">
        <f t="shared" si="3"/>
        <v>8</v>
      </c>
      <c r="H11" s="11">
        <v>0</v>
      </c>
      <c r="I11" s="12">
        <v>0</v>
      </c>
      <c r="J11" s="13">
        <v>0</v>
      </c>
      <c r="P11" s="31">
        <f t="shared" si="4"/>
        <v>8</v>
      </c>
      <c r="Q11" s="12">
        <f t="shared" si="5"/>
        <v>15071.092302652733</v>
      </c>
      <c r="R11" s="12">
        <f t="shared" si="0"/>
        <v>0</v>
      </c>
      <c r="S11" s="12">
        <f t="shared" si="1"/>
        <v>15071.092302652733</v>
      </c>
      <c r="T11" s="32">
        <f t="shared" si="6"/>
        <v>0.99113732755247796</v>
      </c>
    </row>
    <row r="12" spans="2:20">
      <c r="B12" s="1">
        <f t="shared" si="2"/>
        <v>9</v>
      </c>
      <c r="C12" s="7">
        <v>-2.0549999999999961E-3</v>
      </c>
      <c r="D12" s="5">
        <v>5.9999999999999991E-2</v>
      </c>
      <c r="E12" s="9">
        <v>5.6219999999999959E-3</v>
      </c>
      <c r="G12" s="1">
        <f t="shared" si="3"/>
        <v>9</v>
      </c>
      <c r="H12" s="11">
        <v>0</v>
      </c>
      <c r="I12" s="12">
        <v>0</v>
      </c>
      <c r="J12" s="13">
        <v>0</v>
      </c>
      <c r="P12" s="31">
        <f t="shared" si="4"/>
        <v>9</v>
      </c>
      <c r="Q12" s="12">
        <f t="shared" si="5"/>
        <v>15068.508943991217</v>
      </c>
      <c r="R12" s="12">
        <f t="shared" si="0"/>
        <v>0</v>
      </c>
      <c r="S12" s="12">
        <f t="shared" si="1"/>
        <v>15068.508943991217</v>
      </c>
      <c r="T12" s="32">
        <f t="shared" si="6"/>
        <v>0.99067438827288112</v>
      </c>
    </row>
    <row r="13" spans="2:20">
      <c r="B13" s="1">
        <f t="shared" si="2"/>
        <v>10</v>
      </c>
      <c r="C13" s="7">
        <v>-1.1939999999999996E-2</v>
      </c>
      <c r="D13" s="5">
        <v>6.4999999999999988E-2</v>
      </c>
      <c r="E13" s="9">
        <v>1.2194999999999996E-2</v>
      </c>
      <c r="G13" s="1">
        <f t="shared" si="3"/>
        <v>10</v>
      </c>
      <c r="H13" s="11">
        <v>2500</v>
      </c>
      <c r="I13" s="12">
        <v>0</v>
      </c>
      <c r="J13" s="13">
        <v>0</v>
      </c>
      <c r="P13" s="31">
        <f t="shared" si="4"/>
        <v>10</v>
      </c>
      <c r="Q13" s="12">
        <f t="shared" si="5"/>
        <v>17550.931878482847</v>
      </c>
      <c r="R13" s="12">
        <f t="shared" si="0"/>
        <v>0</v>
      </c>
      <c r="S13" s="12">
        <f t="shared" si="1"/>
        <v>17550.931878482847</v>
      </c>
      <c r="T13" s="32">
        <f t="shared" si="6"/>
        <v>0.98967420999362687</v>
      </c>
    </row>
    <row r="14" spans="2:20">
      <c r="B14" s="1">
        <f t="shared" si="2"/>
        <v>11</v>
      </c>
      <c r="C14" s="7">
        <v>-1.2825999999999995E-2</v>
      </c>
      <c r="D14" s="5">
        <v>6.9999999999999993E-2</v>
      </c>
      <c r="E14" s="9">
        <v>1.9783999999999996E-2</v>
      </c>
      <c r="G14" s="1">
        <f t="shared" si="3"/>
        <v>11</v>
      </c>
      <c r="H14" s="11">
        <v>0</v>
      </c>
      <c r="I14" s="12">
        <v>0</v>
      </c>
      <c r="J14" s="13">
        <v>0</v>
      </c>
      <c r="P14" s="31">
        <f t="shared" si="4"/>
        <v>11</v>
      </c>
      <c r="Q14" s="12">
        <f t="shared" si="5"/>
        <v>17532.061668806469</v>
      </c>
      <c r="R14" s="12">
        <f t="shared" si="0"/>
        <v>0</v>
      </c>
      <c r="S14" s="12">
        <f t="shared" si="1"/>
        <v>17532.061668806469</v>
      </c>
      <c r="T14" s="32">
        <f t="shared" si="6"/>
        <v>0.98805981571942025</v>
      </c>
    </row>
    <row r="15" spans="2:20">
      <c r="B15" s="1">
        <f t="shared" si="2"/>
        <v>12</v>
      </c>
      <c r="C15" s="7">
        <v>-1.1013999999999996E-2</v>
      </c>
      <c r="D15" s="5">
        <v>7.4999999999999997E-2</v>
      </c>
      <c r="E15" s="9">
        <v>1.4735999999999996E-2</v>
      </c>
      <c r="G15" s="1">
        <f t="shared" si="3"/>
        <v>12</v>
      </c>
      <c r="H15" s="11">
        <v>0</v>
      </c>
      <c r="I15" s="12">
        <v>0</v>
      </c>
      <c r="J15" s="13">
        <v>0</v>
      </c>
      <c r="P15" s="31">
        <f t="shared" si="4"/>
        <v>12</v>
      </c>
      <c r="Q15" s="12">
        <f t="shared" si="5"/>
        <v>17515.888350685782</v>
      </c>
      <c r="R15" s="12">
        <f t="shared" si="0"/>
        <v>0</v>
      </c>
      <c r="S15" s="12">
        <f t="shared" si="1"/>
        <v>17515.888350685782</v>
      </c>
      <c r="T15" s="32">
        <f t="shared" si="6"/>
        <v>0.98685606512926738</v>
      </c>
    </row>
    <row r="16" spans="2:20">
      <c r="B16" s="1">
        <f t="shared" si="2"/>
        <v>13</v>
      </c>
      <c r="C16" s="7">
        <v>-1.3960999999999996E-2</v>
      </c>
      <c r="D16" s="5">
        <v>0.08</v>
      </c>
      <c r="E16" s="9">
        <v>1.9972999999999998E-2</v>
      </c>
      <c r="G16" s="1">
        <f t="shared" si="3"/>
        <v>13</v>
      </c>
      <c r="H16" s="11">
        <v>2500</v>
      </c>
      <c r="I16" s="12">
        <v>5000</v>
      </c>
      <c r="J16" s="13">
        <v>0</v>
      </c>
      <c r="P16" s="31">
        <f t="shared" si="4"/>
        <v>13</v>
      </c>
      <c r="Q16" s="12">
        <f t="shared" si="5"/>
        <v>19992.451182326768</v>
      </c>
      <c r="R16" s="12">
        <f t="shared" si="0"/>
        <v>0</v>
      </c>
      <c r="S16" s="12">
        <f t="shared" si="1"/>
        <v>19992.451182326768</v>
      </c>
      <c r="T16" s="32">
        <f t="shared" si="6"/>
        <v>0.98523105286387846</v>
      </c>
    </row>
    <row r="17" spans="2:20">
      <c r="B17" s="1">
        <f t="shared" si="2"/>
        <v>14</v>
      </c>
      <c r="C17" s="7">
        <v>-1.5745999999999996E-2</v>
      </c>
      <c r="D17" s="5">
        <v>8.5000000000000006E-2</v>
      </c>
      <c r="E17" s="9">
        <v>2.2050999999999994E-2</v>
      </c>
      <c r="G17" s="1">
        <f t="shared" si="3"/>
        <v>14</v>
      </c>
      <c r="H17" s="11">
        <v>0</v>
      </c>
      <c r="I17" s="12">
        <v>0</v>
      </c>
      <c r="J17" s="13">
        <v>0</v>
      </c>
      <c r="P17" s="31">
        <f t="shared" si="4"/>
        <v>14</v>
      </c>
      <c r="Q17" s="12">
        <f t="shared" si="5"/>
        <v>19966.026503102061</v>
      </c>
      <c r="R17" s="12">
        <f t="shared" si="0"/>
        <v>0</v>
      </c>
      <c r="S17" s="12">
        <f t="shared" si="1"/>
        <v>19966.026503102061</v>
      </c>
      <c r="T17" s="32">
        <f t="shared" si="6"/>
        <v>0.98344190756410443</v>
      </c>
    </row>
    <row r="18" spans="2:20">
      <c r="B18" s="1">
        <f t="shared" si="2"/>
        <v>15</v>
      </c>
      <c r="C18" s="7">
        <v>-1.1960999999999996E-2</v>
      </c>
      <c r="D18" s="5">
        <v>9.0000000000000011E-2</v>
      </c>
      <c r="E18" s="9">
        <v>1.5844999999999995E-2</v>
      </c>
      <c r="G18" s="1">
        <f t="shared" si="3"/>
        <v>15</v>
      </c>
      <c r="H18" s="11">
        <v>0</v>
      </c>
      <c r="I18" s="12">
        <v>0</v>
      </c>
      <c r="J18" s="13">
        <v>0</v>
      </c>
      <c r="P18" s="31">
        <f t="shared" si="4"/>
        <v>15</v>
      </c>
      <c r="Q18" s="12">
        <f t="shared" si="5"/>
        <v>19946.015424605837</v>
      </c>
      <c r="R18" s="12">
        <f t="shared" si="0"/>
        <v>0</v>
      </c>
      <c r="S18" s="12">
        <f t="shared" si="1"/>
        <v>19946.015424605837</v>
      </c>
      <c r="T18" s="32">
        <f t="shared" si="6"/>
        <v>0.9821543784249398</v>
      </c>
    </row>
    <row r="19" spans="2:20">
      <c r="B19" s="1">
        <f t="shared" si="2"/>
        <v>16</v>
      </c>
      <c r="C19" s="7">
        <v>-1.3185999999999996E-2</v>
      </c>
      <c r="D19" s="5">
        <v>9.5000000000000015E-2</v>
      </c>
      <c r="E19" s="9">
        <v>1.8419999999999995E-2</v>
      </c>
      <c r="G19" s="1">
        <f t="shared" si="3"/>
        <v>16</v>
      </c>
      <c r="H19" s="11">
        <v>2500</v>
      </c>
      <c r="I19" s="12">
        <v>0</v>
      </c>
      <c r="J19" s="13">
        <v>0</v>
      </c>
      <c r="P19" s="31">
        <f t="shared" si="4"/>
        <v>16</v>
      </c>
      <c r="Q19" s="12">
        <f t="shared" si="5"/>
        <v>22421.200665166769</v>
      </c>
      <c r="R19" s="12">
        <f t="shared" si="0"/>
        <v>0</v>
      </c>
      <c r="S19" s="12">
        <f t="shared" si="1"/>
        <v>22421.200665166769</v>
      </c>
      <c r="T19" s="32">
        <f t="shared" si="6"/>
        <v>0.98066162388003286</v>
      </c>
    </row>
    <row r="20" spans="2:20">
      <c r="B20" s="1">
        <f t="shared" si="2"/>
        <v>17</v>
      </c>
      <c r="C20" s="7">
        <v>-1.7870999999999998E-2</v>
      </c>
      <c r="D20" s="5">
        <v>0.10000000000000002</v>
      </c>
      <c r="E20" s="9">
        <v>2.1705999999999996E-2</v>
      </c>
      <c r="G20" s="1">
        <f t="shared" si="3"/>
        <v>17</v>
      </c>
      <c r="H20" s="11">
        <v>0</v>
      </c>
      <c r="I20" s="12">
        <v>0</v>
      </c>
      <c r="J20" s="13">
        <v>0</v>
      </c>
      <c r="P20" s="31">
        <f t="shared" si="4"/>
        <v>17</v>
      </c>
      <c r="Q20" s="12">
        <f t="shared" si="5"/>
        <v>22387.533228452714</v>
      </c>
      <c r="R20" s="12">
        <f t="shared" si="0"/>
        <v>0</v>
      </c>
      <c r="S20" s="12">
        <f t="shared" si="1"/>
        <v>22387.533228452714</v>
      </c>
      <c r="T20" s="32">
        <f t="shared" si="6"/>
        <v>0.97890831717418847</v>
      </c>
    </row>
    <row r="21" spans="2:20">
      <c r="B21" s="1">
        <f t="shared" si="2"/>
        <v>18</v>
      </c>
      <c r="C21" s="7">
        <v>-9.0659999999999977E-3</v>
      </c>
      <c r="D21" s="5">
        <v>0.10500000000000002</v>
      </c>
      <c r="E21" s="9">
        <v>1.1077999999999998E-2</v>
      </c>
      <c r="G21" s="1">
        <f t="shared" si="3"/>
        <v>18</v>
      </c>
      <c r="H21" s="11">
        <v>0</v>
      </c>
      <c r="I21" s="12">
        <v>0</v>
      </c>
      <c r="J21" s="13">
        <v>0</v>
      </c>
      <c r="P21" s="31">
        <f t="shared" si="4"/>
        <v>18</v>
      </c>
      <c r="Q21" s="12">
        <f t="shared" si="5"/>
        <v>22370.548756319135</v>
      </c>
      <c r="R21" s="12">
        <f t="shared" si="0"/>
        <v>0</v>
      </c>
      <c r="S21" s="12">
        <f t="shared" si="1"/>
        <v>22370.548756319135</v>
      </c>
      <c r="T21" s="32">
        <f t="shared" si="6"/>
        <v>0.97801000298228213</v>
      </c>
    </row>
    <row r="22" spans="2:20">
      <c r="B22" s="1">
        <f t="shared" si="2"/>
        <v>19</v>
      </c>
      <c r="C22" s="7">
        <v>-7.9729999999999975E-3</v>
      </c>
      <c r="D22" s="5">
        <v>0.11000000000000003</v>
      </c>
      <c r="E22" s="9">
        <v>1.6596999999999997E-2</v>
      </c>
      <c r="G22" s="1">
        <f t="shared" si="3"/>
        <v>19</v>
      </c>
      <c r="H22" s="11">
        <v>2500</v>
      </c>
      <c r="I22" s="12">
        <v>0</v>
      </c>
      <c r="J22" s="13">
        <v>0</v>
      </c>
      <c r="P22" s="31">
        <f t="shared" si="4"/>
        <v>19</v>
      </c>
      <c r="Q22" s="12">
        <f t="shared" si="5"/>
        <v>24853.963654820822</v>
      </c>
      <c r="R22" s="12">
        <f t="shared" si="0"/>
        <v>0</v>
      </c>
      <c r="S22" s="12">
        <f t="shared" si="1"/>
        <v>24853.963654820822</v>
      </c>
      <c r="T22" s="32">
        <f t="shared" si="6"/>
        <v>0.97666935581133796</v>
      </c>
    </row>
    <row r="23" spans="2:20">
      <c r="B23" s="1">
        <f t="shared" si="2"/>
        <v>20</v>
      </c>
      <c r="C23" s="7">
        <v>-1.0521999999999997E-2</v>
      </c>
      <c r="D23" s="5">
        <v>0.11500000000000003</v>
      </c>
      <c r="E23" s="9">
        <v>1.9500999999999998E-2</v>
      </c>
      <c r="G23" s="1">
        <f t="shared" si="3"/>
        <v>20</v>
      </c>
      <c r="H23" s="11">
        <v>0</v>
      </c>
      <c r="I23" s="12">
        <v>0</v>
      </c>
      <c r="J23" s="13">
        <v>0</v>
      </c>
      <c r="P23" s="31">
        <f t="shared" si="4"/>
        <v>20</v>
      </c>
      <c r="Q23" s="12">
        <f t="shared" si="5"/>
        <v>24832.065061534926</v>
      </c>
      <c r="R23" s="12">
        <f t="shared" si="0"/>
        <v>0</v>
      </c>
      <c r="S23" s="12">
        <f t="shared" si="1"/>
        <v>24832.065061534926</v>
      </c>
      <c r="T23" s="32">
        <f t="shared" si="6"/>
        <v>0.97509872836952138</v>
      </c>
    </row>
    <row r="24" spans="2:20">
      <c r="B24" s="1">
        <f t="shared" si="2"/>
        <v>21</v>
      </c>
      <c r="C24" s="7">
        <v>-1.1375999999999997E-2</v>
      </c>
      <c r="D24" s="5">
        <v>0.12000000000000004</v>
      </c>
      <c r="E24" s="9">
        <v>1.6013999999999997E-2</v>
      </c>
      <c r="G24" s="1">
        <f t="shared" si="3"/>
        <v>21</v>
      </c>
      <c r="H24" s="11">
        <v>0</v>
      </c>
      <c r="I24" s="12">
        <v>0</v>
      </c>
      <c r="J24" s="13">
        <v>0</v>
      </c>
      <c r="P24" s="31">
        <f t="shared" si="4"/>
        <v>21</v>
      </c>
      <c r="Q24" s="12">
        <f t="shared" si="5"/>
        <v>24808.400622584257</v>
      </c>
      <c r="R24" s="12">
        <f t="shared" si="0"/>
        <v>0</v>
      </c>
      <c r="S24" s="12">
        <f t="shared" si="1"/>
        <v>24808.400622584257</v>
      </c>
      <c r="T24" s="32">
        <f t="shared" si="6"/>
        <v>0.97380862265406165</v>
      </c>
    </row>
    <row r="25" spans="2:20">
      <c r="B25" s="1">
        <f t="shared" si="2"/>
        <v>22</v>
      </c>
      <c r="C25" s="7">
        <v>-1.1715999999999997E-2</v>
      </c>
      <c r="D25" s="5">
        <v>0.12500000000000003</v>
      </c>
      <c r="E25" s="9">
        <v>1.9234999999999995E-2</v>
      </c>
      <c r="G25" s="1">
        <f t="shared" si="3"/>
        <v>22</v>
      </c>
      <c r="H25" s="11">
        <v>2500</v>
      </c>
      <c r="I25" s="12">
        <v>0</v>
      </c>
      <c r="J25" s="13">
        <v>0</v>
      </c>
      <c r="P25" s="31">
        <f t="shared" si="4"/>
        <v>22</v>
      </c>
      <c r="Q25" s="12">
        <f t="shared" si="5"/>
        <v>27281.594268826313</v>
      </c>
      <c r="R25" s="12">
        <f t="shared" si="0"/>
        <v>3410.19928360329</v>
      </c>
      <c r="S25" s="12">
        <f t="shared" si="1"/>
        <v>23871.394985223022</v>
      </c>
      <c r="T25" s="32">
        <f t="shared" si="6"/>
        <v>0.97226373782155129</v>
      </c>
    </row>
    <row r="26" spans="2:20">
      <c r="B26" s="1">
        <f t="shared" si="2"/>
        <v>23</v>
      </c>
      <c r="C26" s="7">
        <v>-1.3902999999999997E-2</v>
      </c>
      <c r="D26" s="5">
        <v>0.13000000000000003</v>
      </c>
      <c r="E26" s="9">
        <v>1.8726999999999997E-2</v>
      </c>
      <c r="G26" s="1">
        <f t="shared" si="3"/>
        <v>23</v>
      </c>
      <c r="H26" s="11">
        <v>0</v>
      </c>
      <c r="I26" s="12">
        <v>0</v>
      </c>
      <c r="J26" s="13">
        <v>0</v>
      </c>
      <c r="P26" s="31">
        <f t="shared" si="4"/>
        <v>23</v>
      </c>
      <c r="Q26" s="12">
        <f t="shared" si="5"/>
        <v>23843.560167224245</v>
      </c>
      <c r="R26" s="12">
        <f t="shared" si="0"/>
        <v>3099.6628217391526</v>
      </c>
      <c r="S26" s="12">
        <f t="shared" si="1"/>
        <v>20743.897345485093</v>
      </c>
      <c r="T26" s="32">
        <f t="shared" si="6"/>
        <v>0.97076163308342356</v>
      </c>
    </row>
    <row r="27" spans="2:20">
      <c r="B27" s="1">
        <f t="shared" si="2"/>
        <v>24</v>
      </c>
      <c r="C27" s="7">
        <v>-2.1199999999999997E-2</v>
      </c>
      <c r="D27" s="5">
        <v>0.13500000000000004</v>
      </c>
      <c r="E27" s="9">
        <v>2.3176999999999996E-2</v>
      </c>
      <c r="G27" s="1">
        <f t="shared" si="3"/>
        <v>24</v>
      </c>
      <c r="H27" s="11">
        <v>0</v>
      </c>
      <c r="I27" s="12">
        <v>0</v>
      </c>
      <c r="J27" s="13">
        <v>0</v>
      </c>
      <c r="P27" s="31">
        <f t="shared" si="4"/>
        <v>24</v>
      </c>
      <c r="Q27" s="12">
        <f t="shared" si="5"/>
        <v>20706.88880257577</v>
      </c>
      <c r="R27" s="12">
        <f t="shared" si="0"/>
        <v>2795.4299883477297</v>
      </c>
      <c r="S27" s="12">
        <f t="shared" si="1"/>
        <v>17911.458814228041</v>
      </c>
      <c r="T27" s="32">
        <f t="shared" si="6"/>
        <v>0.96890985412670527</v>
      </c>
    </row>
    <row r="28" spans="2:20">
      <c r="B28" s="1">
        <f t="shared" si="2"/>
        <v>25</v>
      </c>
      <c r="C28" s="7">
        <v>-2.7170999999999997E-2</v>
      </c>
      <c r="D28" s="5">
        <v>0.14000000000000004</v>
      </c>
      <c r="E28" s="9">
        <v>3.4644999999999995E-2</v>
      </c>
      <c r="G28" s="1">
        <f t="shared" si="3"/>
        <v>25</v>
      </c>
      <c r="H28" s="11">
        <v>2500</v>
      </c>
      <c r="I28" s="12">
        <v>5000</v>
      </c>
      <c r="J28" s="13">
        <v>0</v>
      </c>
      <c r="P28" s="31">
        <f t="shared" si="4"/>
        <v>25</v>
      </c>
      <c r="Q28" s="12">
        <f t="shared" si="5"/>
        <v>20364.656421960473</v>
      </c>
      <c r="R28" s="12">
        <f t="shared" si="0"/>
        <v>2851.0518990744672</v>
      </c>
      <c r="S28" s="12">
        <f t="shared" si="1"/>
        <v>17513.604522886006</v>
      </c>
      <c r="T28" s="32">
        <f t="shared" si="6"/>
        <v>0.96616379515456852</v>
      </c>
    </row>
    <row r="29" spans="2:20">
      <c r="B29" s="1">
        <f t="shared" si="2"/>
        <v>26</v>
      </c>
      <c r="C29" s="7">
        <v>-2.0009999999999997E-2</v>
      </c>
      <c r="D29" s="5">
        <v>0.14500000000000005</v>
      </c>
      <c r="E29" s="9">
        <v>2.7861999999999998E-2</v>
      </c>
      <c r="G29" s="1">
        <f t="shared" si="3"/>
        <v>26</v>
      </c>
      <c r="H29" s="11">
        <v>0</v>
      </c>
      <c r="I29" s="12">
        <v>0</v>
      </c>
      <c r="J29" s="13">
        <v>0</v>
      </c>
      <c r="P29" s="31">
        <f t="shared" si="4"/>
        <v>26</v>
      </c>
      <c r="Q29" s="12">
        <f t="shared" si="5"/>
        <v>17484.129275927164</v>
      </c>
      <c r="R29" s="12">
        <f t="shared" si="0"/>
        <v>2535.1987450094393</v>
      </c>
      <c r="S29" s="12">
        <f t="shared" si="1"/>
        <v>14948.930530917725</v>
      </c>
      <c r="T29" s="32">
        <f t="shared" si="6"/>
        <v>0.96395373781658045</v>
      </c>
    </row>
    <row r="30" spans="2:20">
      <c r="B30" s="1">
        <f t="shared" si="2"/>
        <v>27</v>
      </c>
      <c r="C30" s="7">
        <v>-2.9980999999999997E-2</v>
      </c>
      <c r="D30" s="5">
        <v>0.15000000000000005</v>
      </c>
      <c r="E30" s="9">
        <v>3.6169999999999994E-2</v>
      </c>
      <c r="G30" s="1">
        <f t="shared" si="3"/>
        <v>27</v>
      </c>
      <c r="H30" s="11">
        <v>0</v>
      </c>
      <c r="I30" s="12">
        <v>0</v>
      </c>
      <c r="J30" s="13">
        <v>0</v>
      </c>
      <c r="P30" s="31">
        <f t="shared" si="4"/>
        <v>27</v>
      </c>
      <c r="Q30" s="12">
        <f t="shared" si="5"/>
        <v>14911.058604395574</v>
      </c>
      <c r="R30" s="12">
        <f t="shared" si="0"/>
        <v>2236.6587906593368</v>
      </c>
      <c r="S30" s="12">
        <f t="shared" si="1"/>
        <v>12674.399813736236</v>
      </c>
      <c r="T30" s="32">
        <f t="shared" si="6"/>
        <v>0.96110375460179309</v>
      </c>
    </row>
    <row r="31" spans="2:20">
      <c r="B31" s="1">
        <f t="shared" si="2"/>
        <v>28</v>
      </c>
      <c r="C31" s="7">
        <v>-2.7548999999999997E-2</v>
      </c>
      <c r="D31" s="5">
        <v>0.15500000000000005</v>
      </c>
      <c r="E31" s="9">
        <v>2.9783999999999998E-2</v>
      </c>
      <c r="G31" s="1">
        <f t="shared" si="3"/>
        <v>28</v>
      </c>
      <c r="H31" s="11">
        <v>2500</v>
      </c>
      <c r="I31" s="12">
        <v>0</v>
      </c>
      <c r="J31" s="13">
        <v>0</v>
      </c>
      <c r="P31" s="31">
        <f t="shared" si="4"/>
        <v>28</v>
      </c>
      <c r="Q31" s="12">
        <f t="shared" si="5"/>
        <v>15139.115415342019</v>
      </c>
      <c r="R31" s="12">
        <f t="shared" si="0"/>
        <v>2346.562889378014</v>
      </c>
      <c r="S31" s="12">
        <f t="shared" si="1"/>
        <v>12792.552525964005</v>
      </c>
      <c r="T31" s="32">
        <f t="shared" si="6"/>
        <v>0.95875600155226615</v>
      </c>
    </row>
    <row r="32" spans="2:20">
      <c r="B32" s="1">
        <f t="shared" si="2"/>
        <v>29</v>
      </c>
      <c r="C32" s="7">
        <v>-3.6648E-2</v>
      </c>
      <c r="D32" s="5">
        <v>0.16000000000000006</v>
      </c>
      <c r="E32" s="9">
        <v>3.8108000000000003E-2</v>
      </c>
      <c r="G32" s="1">
        <f t="shared" si="3"/>
        <v>29</v>
      </c>
      <c r="H32" s="11">
        <v>0</v>
      </c>
      <c r="I32" s="12">
        <v>0</v>
      </c>
      <c r="J32" s="13">
        <v>0</v>
      </c>
      <c r="P32" s="31">
        <f t="shared" si="4"/>
        <v>29</v>
      </c>
      <c r="Q32" s="12">
        <f t="shared" si="5"/>
        <v>12752.812049923681</v>
      </c>
      <c r="R32" s="12">
        <f t="shared" si="0"/>
        <v>2040.4499279877898</v>
      </c>
      <c r="S32" s="12">
        <f t="shared" si="1"/>
        <v>10712.362121935892</v>
      </c>
      <c r="T32" s="32">
        <f t="shared" si="6"/>
        <v>0.95577254423105473</v>
      </c>
    </row>
    <row r="33" spans="2:20">
      <c r="B33" s="1">
        <f t="shared" si="2"/>
        <v>30</v>
      </c>
      <c r="C33" s="7">
        <v>-2.9627000000000001E-2</v>
      </c>
      <c r="D33" s="5">
        <v>0.16500000000000006</v>
      </c>
      <c r="E33" s="9">
        <v>3.1067000000000001E-2</v>
      </c>
      <c r="G33" s="1">
        <f t="shared" si="3"/>
        <v>30</v>
      </c>
      <c r="H33" s="11">
        <v>0</v>
      </c>
      <c r="I33" s="12">
        <v>0</v>
      </c>
      <c r="J33" s="13">
        <v>0</v>
      </c>
      <c r="P33" s="31">
        <f t="shared" si="4"/>
        <v>30</v>
      </c>
      <c r="Q33" s="12">
        <f t="shared" si="5"/>
        <v>10685.548106785745</v>
      </c>
      <c r="R33" s="12">
        <f t="shared" si="0"/>
        <v>1763.1154376196487</v>
      </c>
      <c r="S33" s="12">
        <f t="shared" si="1"/>
        <v>8922.4326691660972</v>
      </c>
      <c r="T33" s="32">
        <f t="shared" si="6"/>
        <v>0.95333889076304434</v>
      </c>
    </row>
    <row r="34" spans="2:20">
      <c r="B34" s="1">
        <f t="shared" si="2"/>
        <v>31</v>
      </c>
      <c r="C34" s="7">
        <v>-2.401E-2</v>
      </c>
      <c r="D34" s="5">
        <v>0.17000000000000007</v>
      </c>
      <c r="E34" s="9">
        <v>2.9072000000000001E-2</v>
      </c>
      <c r="G34" s="1">
        <f t="shared" si="3"/>
        <v>31</v>
      </c>
      <c r="H34" s="11">
        <v>2500</v>
      </c>
      <c r="I34" s="12">
        <v>0</v>
      </c>
      <c r="J34" s="13">
        <v>0</v>
      </c>
      <c r="P34" s="31">
        <f t="shared" si="4"/>
        <v>31</v>
      </c>
      <c r="Q34" s="12">
        <f t="shared" si="5"/>
        <v>11399.322855335777</v>
      </c>
      <c r="R34" s="12">
        <f t="shared" si="0"/>
        <v>1937.8848854070827</v>
      </c>
      <c r="S34" s="12">
        <f t="shared" si="1"/>
        <v>9461.4379699286947</v>
      </c>
      <c r="T34" s="32">
        <f t="shared" si="6"/>
        <v>0.95106492059922509</v>
      </c>
    </row>
    <row r="35" spans="2:20">
      <c r="B35" s="1">
        <f t="shared" si="2"/>
        <v>32</v>
      </c>
      <c r="C35" s="7">
        <v>-1.9605999999999998E-2</v>
      </c>
      <c r="D35" s="5">
        <v>0.17500000000000007</v>
      </c>
      <c r="E35" s="9">
        <v>2.0662999999999997E-2</v>
      </c>
      <c r="G35" s="1">
        <f t="shared" si="3"/>
        <v>32</v>
      </c>
      <c r="H35" s="11">
        <v>0</v>
      </c>
      <c r="I35" s="12">
        <v>0</v>
      </c>
      <c r="J35" s="13">
        <v>0</v>
      </c>
      <c r="P35" s="31">
        <f t="shared" si="4"/>
        <v>32</v>
      </c>
      <c r="Q35" s="12">
        <f t="shared" si="5"/>
        <v>9445.8388813419915</v>
      </c>
      <c r="R35" s="12">
        <f t="shared" si="0"/>
        <v>1653.0218042348492</v>
      </c>
      <c r="S35" s="12">
        <f t="shared" si="1"/>
        <v>7792.8170771071418</v>
      </c>
      <c r="T35" s="32">
        <f t="shared" si="6"/>
        <v>0.94944533654740326</v>
      </c>
    </row>
    <row r="36" spans="2:20">
      <c r="B36" s="1">
        <f t="shared" si="2"/>
        <v>33</v>
      </c>
      <c r="C36" s="7">
        <v>-2.5354999999999999E-2</v>
      </c>
      <c r="D36" s="5">
        <v>0.18000000000000008</v>
      </c>
      <c r="E36" s="9">
        <v>3.2585999999999997E-2</v>
      </c>
      <c r="G36" s="1">
        <f t="shared" si="3"/>
        <v>33</v>
      </c>
      <c r="H36" s="11">
        <v>0</v>
      </c>
      <c r="I36" s="12">
        <v>0</v>
      </c>
      <c r="J36" s="13">
        <v>0</v>
      </c>
      <c r="P36" s="31">
        <f t="shared" si="4"/>
        <v>33</v>
      </c>
      <c r="Q36" s="12">
        <f t="shared" si="5"/>
        <v>7776.1569988081119</v>
      </c>
      <c r="R36" s="12">
        <f t="shared" si="0"/>
        <v>1399.7082597854608</v>
      </c>
      <c r="S36" s="12">
        <f t="shared" si="1"/>
        <v>6376.4487390226514</v>
      </c>
      <c r="T36" s="32">
        <f t="shared" si="6"/>
        <v>0.94691162063192513</v>
      </c>
    </row>
    <row r="37" spans="2:20">
      <c r="B37" s="1">
        <f t="shared" si="2"/>
        <v>34</v>
      </c>
      <c r="C37" s="7">
        <v>-2.9228000000000001E-2</v>
      </c>
      <c r="D37" s="5">
        <v>0.18500000000000008</v>
      </c>
      <c r="E37" s="9">
        <v>3.1040000000000002E-2</v>
      </c>
      <c r="G37" s="1">
        <f t="shared" si="3"/>
        <v>34</v>
      </c>
      <c r="H37" s="11">
        <v>2500</v>
      </c>
      <c r="I37" s="12">
        <v>0</v>
      </c>
      <c r="J37" s="13">
        <v>0</v>
      </c>
      <c r="P37" s="31">
        <f t="shared" si="4"/>
        <v>34</v>
      </c>
      <c r="Q37" s="12">
        <f t="shared" si="5"/>
        <v>8854.533516362897</v>
      </c>
      <c r="R37" s="12">
        <f t="shared" si="0"/>
        <v>1638.0887005271366</v>
      </c>
      <c r="S37" s="12">
        <f t="shared" si="1"/>
        <v>7216.4448158357609</v>
      </c>
      <c r="T37" s="32">
        <f t="shared" si="6"/>
        <v>0.94450259057746477</v>
      </c>
    </row>
    <row r="38" spans="2:20">
      <c r="B38" s="1">
        <f t="shared" si="2"/>
        <v>35</v>
      </c>
      <c r="C38" s="7">
        <v>-2.6268E-2</v>
      </c>
      <c r="D38" s="5">
        <v>0.19000000000000009</v>
      </c>
      <c r="E38" s="9">
        <v>2.7660000000000001E-2</v>
      </c>
      <c r="G38" s="1">
        <f t="shared" si="3"/>
        <v>35</v>
      </c>
      <c r="H38" s="11">
        <v>0</v>
      </c>
      <c r="I38" s="12">
        <v>0</v>
      </c>
      <c r="J38" s="13">
        <v>0</v>
      </c>
      <c r="P38" s="31">
        <f t="shared" si="4"/>
        <v>35</v>
      </c>
      <c r="Q38" s="12">
        <f t="shared" si="5"/>
        <v>7200.4545784109932</v>
      </c>
      <c r="R38" s="12">
        <f t="shared" si="0"/>
        <v>1368.0863698980893</v>
      </c>
      <c r="S38" s="12">
        <f t="shared" si="1"/>
        <v>5832.3682085129039</v>
      </c>
      <c r="T38" s="32">
        <f t="shared" si="6"/>
        <v>0.9423575167092022</v>
      </c>
    </row>
    <row r="39" spans="2:20" ht="15" thickBot="1">
      <c r="B39" s="2">
        <f t="shared" si="2"/>
        <v>36</v>
      </c>
      <c r="C39" s="8">
        <v>-1.7417999999999999E-2</v>
      </c>
      <c r="D39" s="6">
        <v>0.19500000000000009</v>
      </c>
      <c r="E39" s="10">
        <v>2.3966999999999999E-2</v>
      </c>
      <c r="G39" s="2">
        <f t="shared" si="3"/>
        <v>36</v>
      </c>
      <c r="H39" s="17">
        <v>0</v>
      </c>
      <c r="I39" s="18">
        <v>0</v>
      </c>
      <c r="J39" s="19">
        <v>0</v>
      </c>
      <c r="P39" s="31">
        <f t="shared" si="4"/>
        <v>36</v>
      </c>
      <c r="Q39" s="12">
        <f t="shared" si="5"/>
        <v>5823.8341806324352</v>
      </c>
      <c r="R39" s="12">
        <f t="shared" si="0"/>
        <v>1135.6476652233255</v>
      </c>
      <c r="S39" s="12">
        <f t="shared" si="1"/>
        <v>4688.1865154091101</v>
      </c>
      <c r="T39" s="32">
        <f t="shared" si="6"/>
        <v>0.94049942781834706</v>
      </c>
    </row>
    <row r="40" spans="2:20">
      <c r="P40" s="32"/>
      <c r="Q40" s="12"/>
      <c r="R40" s="12"/>
      <c r="S40" s="12"/>
      <c r="T40" s="32"/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Tables</vt:lpstr>
      <vt:lpstr>Model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Ching, Michael</dc:creator>
  <cp:lastModifiedBy>Jing Zhou</cp:lastModifiedBy>
  <dcterms:created xsi:type="dcterms:W3CDTF">2019-10-17T15:50:26Z</dcterms:created>
  <dcterms:modified xsi:type="dcterms:W3CDTF">2020-06-18T20:25:53Z</dcterms:modified>
</cp:coreProperties>
</file>